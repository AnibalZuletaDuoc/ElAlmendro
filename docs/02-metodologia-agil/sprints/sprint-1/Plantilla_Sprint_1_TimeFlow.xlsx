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Product Backlog" sheetId="2" r:id="rId5"/>
    <sheet state="visible" name="Hitos y Evidencias" sheetId="3" r:id="rId6"/>
    <sheet state="visible" name="Retrospectiva" sheetId="4" r:id="rId7"/>
  </sheets>
  <definedNames>
    <definedName hidden="1" localSheetId="0" name="_xlnm._FilterDatabase">'Sprint 1'!$A$10:$H$20</definedName>
    <definedName hidden="1" localSheetId="1" name="_xlnm._FilterDatabase">'Product Backlog'!$A$3:$I$12</definedName>
  </definedNames>
  <calcPr/>
  <extLst>
    <ext uri="GoogleSheetsCustomDataVersion2">
      <go:sheetsCustomData xmlns:go="http://customooxmlschemas.google.com/" r:id="rId8" roundtripDataChecksum="s2N3cc1Dyu9lSnylqypAhk6tbpVEBBo4LdKnmwAsNdY="/>
    </ext>
  </extLst>
</workbook>
</file>

<file path=xl/sharedStrings.xml><?xml version="1.0" encoding="utf-8"?>
<sst xmlns="http://schemas.openxmlformats.org/spreadsheetml/2006/main" count="247" uniqueCount="173">
  <si>
    <t>MONITORICE — PLANIFICACIÓN SPRINT 1</t>
  </si>
  <si>
    <t>PRODUCT BACKLOG — MONITORICE</t>
  </si>
  <si>
    <t>ID</t>
  </si>
  <si>
    <t>Proyecto</t>
  </si>
  <si>
    <t>Historia de Usuario / Requerimiento</t>
  </si>
  <si>
    <t>Módulo</t>
  </si>
  <si>
    <t>Prioridad</t>
  </si>
  <si>
    <t>Épica</t>
  </si>
  <si>
    <t>Criterio de aceptación</t>
  </si>
  <si>
    <t>Sprint</t>
  </si>
  <si>
    <t>Monitorice</t>
  </si>
  <si>
    <t>Estado</t>
  </si>
  <si>
    <t>Observaciones</t>
  </si>
  <si>
    <t>HITOS Y EVIDENCIAS — SPRINT 1</t>
  </si>
  <si>
    <t>US-01</t>
  </si>
  <si>
    <t>Como usuario quiero iniciar sesión para acceder a la plataforma.</t>
  </si>
  <si>
    <t>Autenticación</t>
  </si>
  <si>
    <t>Alta</t>
  </si>
  <si>
    <t>Acceso</t>
  </si>
  <si>
    <t>El usuario puede autenticarse.</t>
  </si>
  <si>
    <t>Sprint 1</t>
  </si>
  <si>
    <t>completado</t>
  </si>
  <si>
    <t>US-02</t>
  </si>
  <si>
    <t>Como usuario quiero registrar mi entrada y salida para controlar mi jornada.</t>
  </si>
  <si>
    <t>Jornada</t>
  </si>
  <si>
    <t>Control horario</t>
  </si>
  <si>
    <t>Se registra fecha y hora.</t>
  </si>
  <si>
    <t>Sprint 2</t>
  </si>
  <si>
    <t>por hacer</t>
  </si>
  <si>
    <t>US-03</t>
  </si>
  <si>
    <t>Como usuario quiero crear actividades para registrar el trabajo realizado.</t>
  </si>
  <si>
    <t>Actividades</t>
  </si>
  <si>
    <t>Objetivo</t>
  </si>
  <si>
    <t>Seguimiento</t>
  </si>
  <si>
    <t>Definir y validar la base funcional y técnica de Monitorice: requerimientos, módulos, Product Backlog, mockups, arquitectura y estructura inicial.</t>
  </si>
  <si>
    <t>Se puede crear y consultar.</t>
  </si>
  <si>
    <t>US-04</t>
  </si>
  <si>
    <t>Como usuario quiero cambiar el estado de una actividad.</t>
  </si>
  <si>
    <t>Hito</t>
  </si>
  <si>
    <t>La actividad conserva su estado e historial.</t>
  </si>
  <si>
    <t>US-05</t>
  </si>
  <si>
    <t>Descripción</t>
  </si>
  <si>
    <t>Como usuario quiero visualizar actividades mediante nodos.</t>
  </si>
  <si>
    <t>Fecha</t>
  </si>
  <si>
    <t>Nodos</t>
  </si>
  <si>
    <t>Criterio de logro</t>
  </si>
  <si>
    <t>Flujo de trabajo</t>
  </si>
  <si>
    <t>Los nodos muestran el flujo.</t>
  </si>
  <si>
    <t>Fecha objetivo</t>
  </si>
  <si>
    <t>Sprint 3</t>
  </si>
  <si>
    <t>Responsable</t>
  </si>
  <si>
    <t>US-06</t>
  </si>
  <si>
    <t>Como usuario quiero registrar derivaciones y motivos.</t>
  </si>
  <si>
    <t>Evidencia</t>
  </si>
  <si>
    <t>Trazabilidad</t>
  </si>
  <si>
    <t>Cada derivación registra motivo y fecha.</t>
  </si>
  <si>
    <t>Validación</t>
  </si>
  <si>
    <t>RETROSPECTIVA — SPRINT 1</t>
  </si>
  <si>
    <t>H1</t>
  </si>
  <si>
    <t>US-07</t>
  </si>
  <si>
    <t>Como administrador quiero consultar horas trabajadas.</t>
  </si>
  <si>
    <t>Requerimientos levantados</t>
  </si>
  <si>
    <t>Reportes</t>
  </si>
  <si>
    <t>Media</t>
  </si>
  <si>
    <t>Requerimientos principales documentados y priorizados.</t>
  </si>
  <si>
    <t>Consulta por usuario y período.</t>
  </si>
  <si>
    <t>Sprint 4</t>
  </si>
  <si>
    <t>Equipo</t>
  </si>
  <si>
    <t>US-08</t>
  </si>
  <si>
    <t>Cristopher Ramirez / Anibal Zuleta / Rodrigo Rivera</t>
  </si>
  <si>
    <t>Como usuario quiero consultar el historial de una tarea.</t>
  </si>
  <si>
    <t>Historial</t>
  </si>
  <si>
    <t>Se visualizan cambios temporalmente.</t>
  </si>
  <si>
    <t>US-09</t>
  </si>
  <si>
    <t>Como administrador quiero visualizar un panel con el estado de actividades.</t>
  </si>
  <si>
    <t>Dashboard</t>
  </si>
  <si>
    <t>Visualización</t>
  </si>
  <si>
    <t>El panel muestra información actualizada.</t>
  </si>
  <si>
    <t>Documento de requerimientos</t>
  </si>
  <si>
    <t>Categoría</t>
  </si>
  <si>
    <t>Historia/Tarea</t>
  </si>
  <si>
    <t>Tipo</t>
  </si>
  <si>
    <t>Pregunta</t>
  </si>
  <si>
    <t>Respuesta del equipo</t>
  </si>
  <si>
    <t>Cristopher ramirez - lider de proyecto</t>
  </si>
  <si>
    <t>Acción para Sprint 2</t>
  </si>
  <si>
    <t>Estimación (h)</t>
  </si>
  <si>
    <t>Qué salió bien</t>
  </si>
  <si>
    <t>¿Qué funcionó correctamente?</t>
  </si>
  <si>
    <t>Evidencia / Entregable</t>
  </si>
  <si>
    <t>S1-01</t>
  </si>
  <si>
    <t>Funciono correctamente la participacion en trello con organizamiento de tareas, validacio nmanual de entregas por el lider de proyecto</t>
  </si>
  <si>
    <t>Levantar y documentar requerimientos</t>
  </si>
  <si>
    <t xml:space="preserve"> el orden con trello y progresar segun lo planeado, seguir con la validacion manual del lider de proyecto</t>
  </si>
  <si>
    <t>Análisis</t>
  </si>
  <si>
    <t>H2</t>
  </si>
  <si>
    <t>Qué mejorar</t>
  </si>
  <si>
    <t>Módulos definidos</t>
  </si>
  <si>
    <t>¿Qué dificultades o retrasos tuvimos?</t>
  </si>
  <si>
    <t>Módulos principales identificados.</t>
  </si>
  <si>
    <t>mockups , debido a la toma de este requirimiento por parte de un integrante que no dio aviso que no podia realizar el mockup debido a trabajo , nos retrasamos un dia</t>
  </si>
  <si>
    <t xml:space="preserve">mejorar la comunicacion </t>
  </si>
  <si>
    <t>anibal</t>
  </si>
  <si>
    <t>Listado/diagrama de módulos</t>
  </si>
  <si>
    <t>Qué mantener</t>
  </si>
  <si>
    <t>¿Qué práctica deberíamos mantener?</t>
  </si>
  <si>
    <t>en progreso</t>
  </si>
  <si>
    <t>organizacion por trello y validacion de tareas manual</t>
  </si>
  <si>
    <t>Hecho</t>
  </si>
  <si>
    <t>verificar que tanto el funcionamiento de trello como la validacion duncione correctamente</t>
  </si>
  <si>
    <t>H3</t>
  </si>
  <si>
    <t>S1-02</t>
  </si>
  <si>
    <t>Product Backlog inicial</t>
  </si>
  <si>
    <t>Definir módulos principales del sistema</t>
  </si>
  <si>
    <t>Historias priorizadas y asignadas a sprints.</t>
  </si>
  <si>
    <t>Product Backlog</t>
  </si>
  <si>
    <t>Acciones</t>
  </si>
  <si>
    <t>¿Qué cambios concretos realizaremos?</t>
  </si>
  <si>
    <t>En progreso</t>
  </si>
  <si>
    <t xml:space="preserve">mejora en la comunacion , dar aviso en cualquier circuntancia y no tomar tareas que no haran  </t>
  </si>
  <si>
    <t>Listado de módulos</t>
  </si>
  <si>
    <t>verificar que no hayan retrasos en el cronograma</t>
  </si>
  <si>
    <t>H4</t>
  </si>
  <si>
    <t>S1-03</t>
  </si>
  <si>
    <t>Mockups validados</t>
  </si>
  <si>
    <t>Crear y priorizar Product Backlog</t>
  </si>
  <si>
    <t>Scrum</t>
  </si>
  <si>
    <t>Interfaces principales revisadas con cliente.</t>
  </si>
  <si>
    <t>Cristopher</t>
  </si>
  <si>
    <t>Mockups + registro</t>
  </si>
  <si>
    <t>H5</t>
  </si>
  <si>
    <t>S1-04</t>
  </si>
  <si>
    <t>Arquitectura y BD</t>
  </si>
  <si>
    <t>Diseñar mockups de interfaces principales</t>
  </si>
  <si>
    <t>Diseño</t>
  </si>
  <si>
    <t>Arquitectura y modelo de datos inicial definidos.</t>
  </si>
  <si>
    <t>Anibal / Rodrigo</t>
  </si>
  <si>
    <t>Diagramas</t>
  </si>
  <si>
    <t>Mockups</t>
  </si>
  <si>
    <t>S1-05</t>
  </si>
  <si>
    <t>H6</t>
  </si>
  <si>
    <t>Definir arquitectura inicial</t>
  </si>
  <si>
    <t>Estructura inicial</t>
  </si>
  <si>
    <t>Arquitectura</t>
  </si>
  <si>
    <t>Proyecto ejecuta correctamente localmente.</t>
  </si>
  <si>
    <t>Rodrigo</t>
  </si>
  <si>
    <t>Repositorio/proyecto</t>
  </si>
  <si>
    <t>Diagrama de arquitectura</t>
  </si>
  <si>
    <t>S1-06</t>
  </si>
  <si>
    <t>Diseñar modelo inicial de base de datos</t>
  </si>
  <si>
    <t>Diagrama entidad-relación</t>
  </si>
  <si>
    <t>S1-07</t>
  </si>
  <si>
    <t>Definir stack tecnológico</t>
  </si>
  <si>
    <t>cristopher</t>
  </si>
  <si>
    <t>Documento de tecnologías</t>
  </si>
  <si>
    <t>S1-08</t>
  </si>
  <si>
    <t>Montar estructura inicial del proyecto</t>
  </si>
  <si>
    <t>Desarrollo</t>
  </si>
  <si>
    <t>Por hacer</t>
  </si>
  <si>
    <t>Repositorio/proyecto ejecutable</t>
  </si>
  <si>
    <t>S1-09</t>
  </si>
  <si>
    <t>Validar requerimientos y mockups con cliente</t>
  </si>
  <si>
    <t>Comunicación</t>
  </si>
  <si>
    <t>Equipo + Cliente</t>
  </si>
  <si>
    <t>Registro de validación</t>
  </si>
  <si>
    <t>S1-10</t>
  </si>
  <si>
    <t>Realizar retrospectiva y preparar Sprint 2</t>
  </si>
  <si>
    <t>Retrospectiva + planificación</t>
  </si>
  <si>
    <t>RESUMEN</t>
  </si>
  <si>
    <t>Total tareas</t>
  </si>
  <si>
    <t>Horas estimadas</t>
  </si>
  <si>
    <t>Tareas completadas</t>
  </si>
  <si>
    <t>% avance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</si>
</sst>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4" fillId="3" fontId="4" numFmtId="0" xfId="0" applyBorder="1" applyFill="1" applyFont="1"/>
    <xf borderId="5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5" numFmtId="0" xfId="0" applyAlignment="1" applyBorder="1" applyFont="1">
      <alignment readingOrder="0" shrinkToFit="0" vertical="top" wrapText="1"/>
    </xf>
    <xf borderId="4" fillId="3" fontId="4" numFmtId="0" xfId="0" applyAlignment="1" applyBorder="1" applyFill="1" applyFont="1">
      <alignment readingOrder="0"/>
    </xf>
    <xf borderId="5" fillId="0" fontId="5" numFmtId="164" xfId="0" applyAlignment="1" applyBorder="1" applyFont="1" applyNumberFormat="1">
      <alignment readingOrder="0" shrinkToFit="0" vertical="top" wrapText="1"/>
    </xf>
    <xf borderId="4" fillId="0" fontId="5" numFmtId="164" xfId="0" applyAlignment="1" applyBorder="1" applyFont="1" applyNumberFormat="1">
      <alignment readingOrder="0" shrinkToFit="0" vertical="top" wrapText="1"/>
    </xf>
    <xf borderId="5" fillId="2" fontId="3" numFmtId="0" xfId="0" applyBorder="1" applyFill="1" applyFont="1"/>
    <xf borderId="4" fillId="0" fontId="5" numFmtId="0" xfId="0" applyBorder="1" applyFont="1"/>
    <xf borderId="4" fillId="0" fontId="5" numFmtId="9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18.0"/>
    <col customWidth="1" min="4" max="4" width="12.0"/>
    <col customWidth="1" min="5" max="5" width="22.0"/>
    <col customWidth="1" min="6" max="7" width="16.0"/>
    <col customWidth="1" min="8" max="8" width="40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3">
      <c r="A3" s="5" t="s">
        <v>3</v>
      </c>
      <c r="B3" s="6" t="s">
        <v>10</v>
      </c>
      <c r="C3" s="8"/>
      <c r="D3" s="8"/>
      <c r="E3" s="8"/>
      <c r="F3" s="8"/>
      <c r="G3" s="8"/>
      <c r="H3" s="9"/>
    </row>
    <row r="4">
      <c r="A4" s="5" t="s">
        <v>9</v>
      </c>
      <c r="B4" s="6" t="s">
        <v>20</v>
      </c>
      <c r="C4" s="8"/>
      <c r="D4" s="8"/>
      <c r="E4" s="8"/>
      <c r="F4" s="8"/>
      <c r="G4" s="8"/>
      <c r="H4" s="9"/>
    </row>
    <row r="5">
      <c r="A5" s="5" t="s">
        <v>32</v>
      </c>
      <c r="B5" s="6" t="s">
        <v>34</v>
      </c>
      <c r="C5" s="8"/>
      <c r="D5" s="8"/>
      <c r="E5" s="8"/>
      <c r="F5" s="8"/>
      <c r="G5" s="8"/>
      <c r="H5" s="9"/>
    </row>
    <row r="6">
      <c r="A6" s="11" t="s">
        <v>43</v>
      </c>
      <c r="B6" s="12">
        <v>46265.0</v>
      </c>
      <c r="C6" s="8"/>
      <c r="D6" s="8"/>
      <c r="E6" s="8"/>
      <c r="F6" s="8"/>
      <c r="G6" s="8"/>
      <c r="H6" s="9"/>
    </row>
    <row r="7">
      <c r="A7" s="5" t="s">
        <v>67</v>
      </c>
      <c r="B7" s="6" t="s">
        <v>69</v>
      </c>
      <c r="C7" s="8"/>
      <c r="D7" s="8"/>
      <c r="E7" s="8"/>
      <c r="F7" s="8"/>
      <c r="G7" s="8"/>
      <c r="H7" s="9"/>
    </row>
    <row r="10">
      <c r="A10" s="4" t="s">
        <v>2</v>
      </c>
      <c r="B10" s="4" t="s">
        <v>80</v>
      </c>
      <c r="C10" s="4" t="s">
        <v>81</v>
      </c>
      <c r="D10" s="4" t="s">
        <v>6</v>
      </c>
      <c r="E10" s="4" t="s">
        <v>50</v>
      </c>
      <c r="F10" s="4" t="s">
        <v>86</v>
      </c>
      <c r="G10" s="4" t="s">
        <v>11</v>
      </c>
      <c r="H10" s="4" t="s">
        <v>89</v>
      </c>
    </row>
    <row r="11">
      <c r="A11" s="7" t="s">
        <v>90</v>
      </c>
      <c r="B11" s="7" t="s">
        <v>92</v>
      </c>
      <c r="C11" s="7" t="s">
        <v>94</v>
      </c>
      <c r="D11" s="7" t="s">
        <v>17</v>
      </c>
      <c r="E11" s="10" t="s">
        <v>102</v>
      </c>
      <c r="F11" s="7">
        <v>5.0</v>
      </c>
      <c r="G11" s="10" t="s">
        <v>108</v>
      </c>
      <c r="H11" s="7" t="s">
        <v>78</v>
      </c>
    </row>
    <row r="12">
      <c r="A12" s="7" t="s">
        <v>111</v>
      </c>
      <c r="B12" s="7" t="s">
        <v>113</v>
      </c>
      <c r="C12" s="7" t="s">
        <v>94</v>
      </c>
      <c r="D12" s="7" t="s">
        <v>17</v>
      </c>
      <c r="E12" s="7" t="s">
        <v>67</v>
      </c>
      <c r="F12" s="7">
        <v>4.0</v>
      </c>
      <c r="G12" s="10" t="s">
        <v>118</v>
      </c>
      <c r="H12" s="7" t="s">
        <v>120</v>
      </c>
    </row>
    <row r="13">
      <c r="A13" s="7" t="s">
        <v>123</v>
      </c>
      <c r="B13" s="7" t="s">
        <v>125</v>
      </c>
      <c r="C13" s="7" t="s">
        <v>126</v>
      </c>
      <c r="D13" s="7" t="s">
        <v>17</v>
      </c>
      <c r="E13" s="7" t="s">
        <v>67</v>
      </c>
      <c r="F13" s="7">
        <v>5.0</v>
      </c>
      <c r="G13" s="10" t="s">
        <v>118</v>
      </c>
      <c r="H13" s="7" t="s">
        <v>115</v>
      </c>
    </row>
    <row r="14">
      <c r="A14" s="7" t="s">
        <v>131</v>
      </c>
      <c r="B14" s="7" t="s">
        <v>133</v>
      </c>
      <c r="C14" s="7" t="s">
        <v>134</v>
      </c>
      <c r="D14" s="7" t="s">
        <v>17</v>
      </c>
      <c r="E14" s="7" t="s">
        <v>128</v>
      </c>
      <c r="F14" s="7">
        <v>8.0</v>
      </c>
      <c r="G14" s="10" t="s">
        <v>108</v>
      </c>
      <c r="H14" s="7" t="s">
        <v>138</v>
      </c>
    </row>
    <row r="15">
      <c r="A15" s="7" t="s">
        <v>139</v>
      </c>
      <c r="B15" s="7" t="s">
        <v>141</v>
      </c>
      <c r="C15" s="7" t="s">
        <v>143</v>
      </c>
      <c r="D15" s="7" t="s">
        <v>17</v>
      </c>
      <c r="E15" s="10" t="s">
        <v>145</v>
      </c>
      <c r="F15" s="7">
        <v>6.0</v>
      </c>
      <c r="G15" s="10" t="s">
        <v>118</v>
      </c>
      <c r="H15" s="7" t="s">
        <v>147</v>
      </c>
    </row>
    <row r="16">
      <c r="A16" s="7" t="s">
        <v>148</v>
      </c>
      <c r="B16" s="7" t="s">
        <v>149</v>
      </c>
      <c r="C16" s="7" t="s">
        <v>143</v>
      </c>
      <c r="D16" s="7" t="s">
        <v>17</v>
      </c>
      <c r="E16" s="7" t="s">
        <v>145</v>
      </c>
      <c r="F16" s="7">
        <v>6.0</v>
      </c>
      <c r="G16" s="10" t="s">
        <v>118</v>
      </c>
      <c r="H16" s="7" t="s">
        <v>150</v>
      </c>
    </row>
    <row r="17">
      <c r="A17" s="7" t="s">
        <v>151</v>
      </c>
      <c r="B17" s="7" t="s">
        <v>152</v>
      </c>
      <c r="C17" s="7" t="s">
        <v>143</v>
      </c>
      <c r="D17" s="7" t="s">
        <v>63</v>
      </c>
      <c r="E17" s="10" t="s">
        <v>153</v>
      </c>
      <c r="F17" s="7">
        <v>3.0</v>
      </c>
      <c r="G17" s="10" t="s">
        <v>118</v>
      </c>
      <c r="H17" s="7" t="s">
        <v>154</v>
      </c>
    </row>
    <row r="18">
      <c r="A18" s="7" t="s">
        <v>155</v>
      </c>
      <c r="B18" s="7" t="s">
        <v>156</v>
      </c>
      <c r="C18" s="7" t="s">
        <v>157</v>
      </c>
      <c r="D18" s="7" t="s">
        <v>63</v>
      </c>
      <c r="E18" s="10" t="s">
        <v>153</v>
      </c>
      <c r="F18" s="7">
        <v>8.0</v>
      </c>
      <c r="G18" s="10" t="s">
        <v>158</v>
      </c>
      <c r="H18" s="7" t="s">
        <v>159</v>
      </c>
    </row>
    <row r="19">
      <c r="A19" s="7" t="s">
        <v>160</v>
      </c>
      <c r="B19" s="7" t="s">
        <v>161</v>
      </c>
      <c r="C19" s="7" t="s">
        <v>162</v>
      </c>
      <c r="D19" s="7" t="s">
        <v>17</v>
      </c>
      <c r="E19" s="7" t="s">
        <v>163</v>
      </c>
      <c r="F19" s="7">
        <v>2.0</v>
      </c>
      <c r="G19" s="10" t="s">
        <v>118</v>
      </c>
      <c r="H19" s="7" t="s">
        <v>164</v>
      </c>
    </row>
    <row r="20">
      <c r="A20" s="7" t="s">
        <v>165</v>
      </c>
      <c r="B20" s="7" t="s">
        <v>166</v>
      </c>
      <c r="C20" s="7" t="s">
        <v>126</v>
      </c>
      <c r="D20" s="7" t="s">
        <v>63</v>
      </c>
      <c r="E20" s="7" t="s">
        <v>67</v>
      </c>
      <c r="F20" s="7">
        <v>2.0</v>
      </c>
      <c r="G20" s="10" t="s">
        <v>158</v>
      </c>
      <c r="H20" s="7" t="s">
        <v>167</v>
      </c>
    </row>
    <row r="21" ht="15.75" customHeight="1"/>
    <row r="22" ht="15.75" customHeight="1"/>
    <row r="23" ht="15.75" customHeight="1">
      <c r="A23" s="14" t="s">
        <v>168</v>
      </c>
      <c r="B23" s="8"/>
      <c r="C23" s="9"/>
    </row>
    <row r="24" ht="15.75" customHeight="1">
      <c r="A24" s="5" t="s">
        <v>169</v>
      </c>
      <c r="B24" s="15">
        <f>COUNTA(A11:A20)</f>
        <v>10</v>
      </c>
    </row>
    <row r="25" ht="15.75" customHeight="1">
      <c r="A25" s="5" t="s">
        <v>170</v>
      </c>
      <c r="B25" s="15">
        <f>SUM(F11:F20)</f>
        <v>49</v>
      </c>
    </row>
    <row r="26" ht="15.75" customHeight="1">
      <c r="A26" s="5" t="s">
        <v>171</v>
      </c>
      <c r="B26" s="15">
        <f>COUNTIF(G11:G20,"Hecho")</f>
        <v>2</v>
      </c>
    </row>
    <row r="27" ht="15.75" customHeight="1">
      <c r="A27" s="5" t="s">
        <v>172</v>
      </c>
      <c r="B27" s="16">
        <f>IF(B24=0,0,B26/B24)</f>
        <v>0.2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H$20"/>
  <mergeCells count="7">
    <mergeCell ref="A1:H1"/>
    <mergeCell ref="B3:H3"/>
    <mergeCell ref="B4:H4"/>
    <mergeCell ref="B5:H5"/>
    <mergeCell ref="B6:H6"/>
    <mergeCell ref="B7:H7"/>
    <mergeCell ref="A23:C23"/>
  </mergeCells>
  <conditionalFormatting sqref="G11:G20">
    <cfRule type="cellIs" dxfId="0" priority="1" operator="equal">
      <formula>"Hecho"</formula>
    </cfRule>
  </conditionalFormatting>
  <conditionalFormatting sqref="G11:G20">
    <cfRule type="cellIs" dxfId="1" priority="2" operator="equal">
      <formula>"En progreso"</formula>
    </cfRule>
  </conditionalFormatting>
  <conditionalFormatting sqref="G11:G20">
    <cfRule type="cellIs" dxfId="2" priority="3" operator="equal">
      <formula>"Por hacer"</formula>
    </cfRule>
  </conditionalFormatting>
  <dataValidations>
    <dataValidation type="list" allowBlank="1" sqref="D11:D20">
      <formula1>"Alta,Media,Baja"</formula1>
    </dataValidation>
    <dataValidation type="list" allowBlank="1" sqref="G11:G20">
      <formula1>"Por hacer,En progreso,En revisión,Hecho"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20.0"/>
    <col customWidth="1" min="4" max="4" width="12.0"/>
    <col customWidth="1" min="5" max="5" width="20.0"/>
    <col customWidth="1" min="6" max="6" width="45.0"/>
    <col customWidth="1" min="7" max="7" width="14.0"/>
    <col customWidth="1" min="8" max="8" width="16.0"/>
    <col customWidth="1" min="9" max="9" width="28.0"/>
    <col customWidth="1" min="10" max="2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3"/>
    </row>
    <row r="3">
      <c r="A3" s="4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11</v>
      </c>
      <c r="I3" s="4" t="s">
        <v>12</v>
      </c>
    </row>
    <row r="4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10" t="s">
        <v>21</v>
      </c>
      <c r="I4" s="7"/>
    </row>
    <row r="5">
      <c r="A5" s="7" t="s">
        <v>22</v>
      </c>
      <c r="B5" s="7" t="s">
        <v>23</v>
      </c>
      <c r="C5" s="7" t="s">
        <v>24</v>
      </c>
      <c r="D5" s="7" t="s">
        <v>17</v>
      </c>
      <c r="E5" s="7" t="s">
        <v>25</v>
      </c>
      <c r="F5" s="7" t="s">
        <v>26</v>
      </c>
      <c r="G5" s="7" t="s">
        <v>27</v>
      </c>
      <c r="H5" s="10" t="s">
        <v>28</v>
      </c>
      <c r="I5" s="7"/>
    </row>
    <row r="6">
      <c r="A6" s="7" t="s">
        <v>29</v>
      </c>
      <c r="B6" s="7" t="s">
        <v>30</v>
      </c>
      <c r="C6" s="7" t="s">
        <v>31</v>
      </c>
      <c r="D6" s="7" t="s">
        <v>17</v>
      </c>
      <c r="E6" s="7" t="s">
        <v>33</v>
      </c>
      <c r="F6" s="7" t="s">
        <v>35</v>
      </c>
      <c r="G6" s="7" t="s">
        <v>27</v>
      </c>
      <c r="H6" s="10" t="s">
        <v>28</v>
      </c>
      <c r="I6" s="10"/>
    </row>
    <row r="7">
      <c r="A7" s="7" t="s">
        <v>36</v>
      </c>
      <c r="B7" s="7" t="s">
        <v>37</v>
      </c>
      <c r="C7" s="7" t="s">
        <v>31</v>
      </c>
      <c r="D7" s="7" t="s">
        <v>17</v>
      </c>
      <c r="E7" s="7" t="s">
        <v>33</v>
      </c>
      <c r="F7" s="7" t="s">
        <v>39</v>
      </c>
      <c r="G7" s="7" t="s">
        <v>27</v>
      </c>
      <c r="H7" s="10" t="s">
        <v>28</v>
      </c>
      <c r="I7" s="7"/>
    </row>
    <row r="8">
      <c r="A8" s="7" t="s">
        <v>40</v>
      </c>
      <c r="B8" s="7" t="s">
        <v>42</v>
      </c>
      <c r="C8" s="7" t="s">
        <v>44</v>
      </c>
      <c r="D8" s="7" t="s">
        <v>17</v>
      </c>
      <c r="E8" s="7" t="s">
        <v>46</v>
      </c>
      <c r="F8" s="7" t="s">
        <v>47</v>
      </c>
      <c r="G8" s="7" t="s">
        <v>49</v>
      </c>
      <c r="H8" s="10" t="s">
        <v>28</v>
      </c>
      <c r="I8" s="7"/>
    </row>
    <row r="9">
      <c r="A9" s="7" t="s">
        <v>51</v>
      </c>
      <c r="B9" s="7" t="s">
        <v>52</v>
      </c>
      <c r="C9" s="7" t="s">
        <v>44</v>
      </c>
      <c r="D9" s="7" t="s">
        <v>17</v>
      </c>
      <c r="E9" s="7" t="s">
        <v>54</v>
      </c>
      <c r="F9" s="7" t="s">
        <v>55</v>
      </c>
      <c r="G9" s="7" t="s">
        <v>49</v>
      </c>
      <c r="H9" s="10" t="s">
        <v>28</v>
      </c>
      <c r="I9" s="7"/>
    </row>
    <row r="10">
      <c r="A10" s="7" t="s">
        <v>59</v>
      </c>
      <c r="B10" s="7" t="s">
        <v>60</v>
      </c>
      <c r="C10" s="7" t="s">
        <v>62</v>
      </c>
      <c r="D10" s="7" t="s">
        <v>63</v>
      </c>
      <c r="E10" s="7" t="s">
        <v>62</v>
      </c>
      <c r="F10" s="7" t="s">
        <v>65</v>
      </c>
      <c r="G10" s="7" t="s">
        <v>66</v>
      </c>
      <c r="H10" s="10" t="s">
        <v>28</v>
      </c>
      <c r="I10" s="7"/>
    </row>
    <row r="11">
      <c r="A11" s="7" t="s">
        <v>68</v>
      </c>
      <c r="B11" s="7" t="s">
        <v>70</v>
      </c>
      <c r="C11" s="7" t="s">
        <v>71</v>
      </c>
      <c r="D11" s="7" t="s">
        <v>63</v>
      </c>
      <c r="E11" s="7" t="s">
        <v>54</v>
      </c>
      <c r="F11" s="7" t="s">
        <v>72</v>
      </c>
      <c r="G11" s="7" t="s">
        <v>49</v>
      </c>
      <c r="H11" s="10" t="s">
        <v>28</v>
      </c>
      <c r="I11" s="7"/>
    </row>
    <row r="12">
      <c r="A12" s="7" t="s">
        <v>73</v>
      </c>
      <c r="B12" s="7" t="s">
        <v>74</v>
      </c>
      <c r="C12" s="7" t="s">
        <v>75</v>
      </c>
      <c r="D12" s="7" t="s">
        <v>63</v>
      </c>
      <c r="E12" s="7" t="s">
        <v>76</v>
      </c>
      <c r="F12" s="7" t="s">
        <v>77</v>
      </c>
      <c r="G12" s="7" t="s">
        <v>66</v>
      </c>
      <c r="H12" s="10" t="s">
        <v>28</v>
      </c>
      <c r="I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1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48.0"/>
    <col customWidth="1" min="4" max="4" width="16.0"/>
    <col customWidth="1" min="5" max="5" width="22.0"/>
    <col customWidth="1" min="6" max="6" width="38.0"/>
    <col customWidth="1" min="7" max="7" width="16.0"/>
    <col customWidth="1" min="8" max="8" width="30.0"/>
    <col customWidth="1" min="9" max="26" width="8.71"/>
  </cols>
  <sheetData>
    <row r="1">
      <c r="A1" s="1" t="s">
        <v>13</v>
      </c>
      <c r="B1" s="2"/>
      <c r="C1" s="2"/>
      <c r="D1" s="2"/>
      <c r="E1" s="2"/>
      <c r="F1" s="2"/>
      <c r="G1" s="2"/>
      <c r="H1" s="3"/>
    </row>
    <row r="3">
      <c r="A3" s="4" t="s">
        <v>38</v>
      </c>
      <c r="B3" s="4" t="s">
        <v>41</v>
      </c>
      <c r="C3" s="4" t="s">
        <v>45</v>
      </c>
      <c r="D3" s="4" t="s">
        <v>48</v>
      </c>
      <c r="E3" s="4" t="s">
        <v>50</v>
      </c>
      <c r="F3" s="4" t="s">
        <v>53</v>
      </c>
      <c r="G3" s="4" t="s">
        <v>11</v>
      </c>
      <c r="H3" s="4" t="s">
        <v>56</v>
      </c>
    </row>
    <row r="4">
      <c r="A4" s="7" t="s">
        <v>58</v>
      </c>
      <c r="B4" s="7" t="s">
        <v>61</v>
      </c>
      <c r="C4" s="7" t="s">
        <v>64</v>
      </c>
      <c r="D4" s="13">
        <v>46262.0</v>
      </c>
      <c r="E4" s="7" t="s">
        <v>67</v>
      </c>
      <c r="F4" s="7" t="s">
        <v>78</v>
      </c>
      <c r="G4" s="10" t="s">
        <v>21</v>
      </c>
      <c r="H4" s="10" t="s">
        <v>84</v>
      </c>
    </row>
    <row r="5">
      <c r="A5" s="7" t="s">
        <v>95</v>
      </c>
      <c r="B5" s="7" t="s">
        <v>97</v>
      </c>
      <c r="C5" s="7" t="s">
        <v>99</v>
      </c>
      <c r="D5" s="13">
        <v>46263.0</v>
      </c>
      <c r="E5" s="7" t="s">
        <v>67</v>
      </c>
      <c r="F5" s="7" t="s">
        <v>103</v>
      </c>
      <c r="G5" s="10" t="s">
        <v>106</v>
      </c>
      <c r="H5" s="10" t="s">
        <v>84</v>
      </c>
    </row>
    <row r="6">
      <c r="A6" s="7" t="s">
        <v>110</v>
      </c>
      <c r="B6" s="7" t="s">
        <v>112</v>
      </c>
      <c r="C6" s="7" t="s">
        <v>114</v>
      </c>
      <c r="D6" s="13">
        <v>46263.0</v>
      </c>
      <c r="E6" s="7" t="s">
        <v>67</v>
      </c>
      <c r="F6" s="7" t="s">
        <v>115</v>
      </c>
      <c r="G6" s="10" t="s">
        <v>21</v>
      </c>
      <c r="H6" s="10" t="s">
        <v>84</v>
      </c>
    </row>
    <row r="7">
      <c r="A7" s="7" t="s">
        <v>122</v>
      </c>
      <c r="B7" s="7" t="s">
        <v>124</v>
      </c>
      <c r="C7" s="7" t="s">
        <v>127</v>
      </c>
      <c r="D7" s="13">
        <v>46264.0</v>
      </c>
      <c r="E7" s="7" t="s">
        <v>128</v>
      </c>
      <c r="F7" s="7" t="s">
        <v>129</v>
      </c>
      <c r="G7" s="10" t="s">
        <v>21</v>
      </c>
      <c r="H7" s="10" t="s">
        <v>84</v>
      </c>
    </row>
    <row r="8">
      <c r="A8" s="7" t="s">
        <v>130</v>
      </c>
      <c r="B8" s="7" t="s">
        <v>132</v>
      </c>
      <c r="C8" s="7" t="s">
        <v>135</v>
      </c>
      <c r="D8" s="13">
        <v>46266.0</v>
      </c>
      <c r="E8" s="7" t="s">
        <v>136</v>
      </c>
      <c r="F8" s="7" t="s">
        <v>137</v>
      </c>
      <c r="G8" s="10" t="s">
        <v>106</v>
      </c>
      <c r="H8" s="10" t="s">
        <v>84</v>
      </c>
    </row>
    <row r="9">
      <c r="A9" s="7" t="s">
        <v>140</v>
      </c>
      <c r="B9" s="7" t="s">
        <v>142</v>
      </c>
      <c r="C9" s="7" t="s">
        <v>144</v>
      </c>
      <c r="D9" s="13">
        <v>46267.0</v>
      </c>
      <c r="E9" s="7" t="s">
        <v>67</v>
      </c>
      <c r="F9" s="7" t="s">
        <v>146</v>
      </c>
      <c r="G9" s="10" t="s">
        <v>28</v>
      </c>
      <c r="H9" s="10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50.0"/>
    <col customWidth="1" min="3" max="4" width="55.0"/>
    <col customWidth="1" min="5" max="26" width="8.71"/>
  </cols>
  <sheetData>
    <row r="1">
      <c r="A1" s="1" t="s">
        <v>57</v>
      </c>
      <c r="B1" s="2"/>
      <c r="C1" s="2"/>
      <c r="D1" s="3"/>
    </row>
    <row r="3">
      <c r="A3" s="4" t="s">
        <v>79</v>
      </c>
      <c r="B3" s="4" t="s">
        <v>82</v>
      </c>
      <c r="C3" s="4" t="s">
        <v>83</v>
      </c>
      <c r="D3" s="4" t="s">
        <v>85</v>
      </c>
    </row>
    <row r="4" ht="69.75" customHeight="1">
      <c r="A4" s="7" t="s">
        <v>87</v>
      </c>
      <c r="B4" s="7" t="s">
        <v>88</v>
      </c>
      <c r="C4" s="10" t="s">
        <v>91</v>
      </c>
      <c r="D4" s="10" t="s">
        <v>93</v>
      </c>
    </row>
    <row r="5" ht="69.75" customHeight="1">
      <c r="A5" s="7" t="s">
        <v>96</v>
      </c>
      <c r="B5" s="7" t="s">
        <v>98</v>
      </c>
      <c r="C5" s="10" t="s">
        <v>100</v>
      </c>
      <c r="D5" s="10" t="s">
        <v>101</v>
      </c>
    </row>
    <row r="6" ht="69.75" customHeight="1">
      <c r="A6" s="7" t="s">
        <v>104</v>
      </c>
      <c r="B6" s="7" t="s">
        <v>105</v>
      </c>
      <c r="C6" s="10" t="s">
        <v>107</v>
      </c>
      <c r="D6" s="10" t="s">
        <v>109</v>
      </c>
    </row>
    <row r="7" ht="69.75" customHeight="1">
      <c r="A7" s="7" t="s">
        <v>116</v>
      </c>
      <c r="B7" s="7" t="s">
        <v>117</v>
      </c>
      <c r="C7" s="10" t="s">
        <v>119</v>
      </c>
      <c r="D7" s="10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2026-08-31T18:52:29Z</dcterms:created>
  <dc:creator>openpyxl</dc:creator>
</cp:coreProperties>
</file>